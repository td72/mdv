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  <sheet name="Regions" sheetId="2" state="visible" r:id="rId2"/>
    <sheet name="Notes" sheetId="3" state="hidden" r:id="rId3"/>
    <sheet name="Form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/m/d"/>
    <numFmt numFmtId="166" formatCode="0.0%"/>
    <numFmt numFmtId="167" formatCode="yyyy-mm-dd h:mm:ss"/>
    <numFmt numFmtId="168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8" max="8"/>
  </cols>
  <sheetData>
    <row r="1">
      <c r="A1" s="1" t="inlineStr">
        <is>
          <t>日付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単価</t>
        </is>
      </c>
      <c r="E1" s="1" t="inlineStr">
        <is>
          <t>金額</t>
        </is>
      </c>
      <c r="F1" s="1" t="inlineStr">
        <is>
          <t>割引率</t>
        </is>
      </c>
      <c r="G1" s="1" t="inlineStr">
        <is>
          <t>在庫あり</t>
        </is>
      </c>
      <c r="H1" s="1" t="inlineStr">
        <is>
          <t>備考</t>
        </is>
      </c>
    </row>
    <row r="2">
      <c r="A2" s="2" t="n">
        <v>46296</v>
      </c>
      <c r="B2" t="inlineStr">
        <is>
          <t>りんご</t>
        </is>
      </c>
      <c r="C2" t="n">
        <v>120</v>
      </c>
      <c r="D2" s="3" t="n">
        <v>150</v>
      </c>
      <c r="E2" s="3" t="n">
        <v>18000</v>
      </c>
      <c r="F2" s="4" t="n">
        <v>0.05</v>
      </c>
      <c r="G2" t="b">
        <v>1</v>
      </c>
      <c r="H2" t="inlineStr">
        <is>
          <t>青森産。朝採れ</t>
        </is>
      </c>
    </row>
    <row r="3">
      <c r="A3" s="2" t="n">
        <v>46299</v>
      </c>
      <c r="B3" t="inlineStr">
        <is>
          <t>みかん</t>
        </is>
      </c>
      <c r="C3" t="n">
        <v>80</v>
      </c>
      <c r="D3" s="3" t="n">
        <v>98</v>
      </c>
      <c r="E3" s="3" t="n">
        <v>7840</v>
      </c>
      <c r="F3" s="4" t="n">
        <v>0</v>
      </c>
      <c r="G3" t="b">
        <v>1</v>
      </c>
      <c r="H3" t="inlineStr"/>
    </row>
    <row r="4">
      <c r="A4" s="2" t="n">
        <v>46302</v>
      </c>
      <c r="B4" t="inlineStr">
        <is>
          <t>バナナ</t>
        </is>
      </c>
      <c r="C4" t="n">
        <v>200</v>
      </c>
      <c r="D4" s="3" t="n">
        <v>120</v>
      </c>
      <c r="E4" s="3" t="n">
        <v>24000</v>
      </c>
      <c r="F4" s="4" t="n">
        <v>0.125</v>
      </c>
      <c r="G4" t="b">
        <v>0</v>
      </c>
      <c r="H4" t="inlineStr">
        <is>
          <t>フィリピン産
箱入り (20本)</t>
        </is>
      </c>
    </row>
    <row r="5">
      <c r="A5" s="2" t="n">
        <v>46305</v>
      </c>
      <c r="B5" t="inlineStr">
        <is>
          <t>ぶどう</t>
        </is>
      </c>
      <c r="C5" t="n">
        <v>15</v>
      </c>
      <c r="D5" s="3" t="n">
        <v>1980</v>
      </c>
      <c r="E5" s="3" t="n">
        <v>29700</v>
      </c>
      <c r="F5" s="4" t="n">
        <v>0.2</v>
      </c>
      <c r="G5" t="b">
        <v>1</v>
      </c>
      <c r="H5" t="inlineStr">
        <is>
          <t>シャインマスカット</t>
        </is>
      </c>
    </row>
    <row r="6">
      <c r="A6" s="2" t="n">
        <v>46308</v>
      </c>
      <c r="B6" t="inlineStr">
        <is>
          <t>メロン</t>
        </is>
      </c>
      <c r="C6" t="n">
        <v>3</v>
      </c>
      <c r="D6" s="3" t="n">
        <v>4500</v>
      </c>
      <c r="E6" s="3" t="n">
        <v>13500</v>
      </c>
      <c r="F6" s="4" t="n">
        <v>0</v>
      </c>
      <c r="G6" t="b">
        <v>0</v>
      </c>
      <c r="H6" t="inlineStr">
        <is>
          <t>ギフト用</t>
        </is>
      </c>
    </row>
    <row r="7">
      <c r="A7" s="2" t="n">
        <v>46311</v>
      </c>
      <c r="B7" t="inlineStr">
        <is>
          <t>いちご</t>
        </is>
      </c>
      <c r="C7" t="n">
        <v>40</v>
      </c>
      <c r="D7" s="3" t="n">
        <v>680</v>
      </c>
      <c r="E7" s="3" t="n">
        <v>27200</v>
      </c>
      <c r="F7" s="4" t="n">
        <v>0.1</v>
      </c>
      <c r="G7" t="b">
        <v>1</v>
      </c>
      <c r="H7" t="inlineStr">
        <is>
          <t>とちおとめ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  <c r="G1" t="inlineStr">
        <is>
          <t>Share</t>
        </is>
      </c>
      <c r="H1" t="inlineStr">
        <is>
          <t>Updated</t>
        </is>
      </c>
    </row>
    <row r="2">
      <c r="A2" t="inlineStr">
        <is>
          <t>North</t>
        </is>
      </c>
      <c r="B2" s="5" t="n">
        <v>1250.5</v>
      </c>
      <c r="C2" s="5" t="n">
        <v>1380.25</v>
      </c>
      <c r="D2" s="5" t="n">
        <v>1510</v>
      </c>
      <c r="E2" s="5" t="n">
        <v>1620.75</v>
      </c>
      <c r="F2" s="5" t="n">
        <v>5761.5</v>
      </c>
      <c r="G2" s="6" t="n">
        <v>0.222548834047287</v>
      </c>
      <c r="H2" s="7" t="n">
        <v>46323.39583333334</v>
      </c>
    </row>
    <row r="3">
      <c r="A3" t="inlineStr">
        <is>
          <t>South</t>
        </is>
      </c>
      <c r="B3" s="5" t="n">
        <v>980</v>
      </c>
      <c r="C3" s="5" t="n">
        <v>1010.5</v>
      </c>
      <c r="D3" s="5" t="n">
        <v>1125.3</v>
      </c>
      <c r="E3" s="5" t="n">
        <v>1200</v>
      </c>
      <c r="F3" s="5" t="n">
        <v>4315.8</v>
      </c>
      <c r="G3" s="6" t="n">
        <v>0.166705937339457</v>
      </c>
      <c r="H3" s="7" t="n">
        <v>46323.4375</v>
      </c>
    </row>
    <row r="4">
      <c r="A4" t="inlineStr">
        <is>
          <t>East</t>
        </is>
      </c>
      <c r="B4" s="5" t="n">
        <v>2210.1</v>
      </c>
      <c r="C4" s="5" t="n">
        <v>2300</v>
      </c>
      <c r="D4" s="5" t="n">
        <v>2450.9</v>
      </c>
      <c r="E4" s="5" t="n">
        <v>2600.4</v>
      </c>
      <c r="F4" s="5" t="n">
        <v>9561.4</v>
      </c>
      <c r="G4" s="6" t="n">
        <v>0.3693271581809824</v>
      </c>
      <c r="H4" s="7" t="n">
        <v>46323.47916666666</v>
      </c>
    </row>
    <row r="5">
      <c r="A5" t="inlineStr">
        <is>
          <t>West</t>
        </is>
      </c>
      <c r="B5" s="5" t="n">
        <v>1500</v>
      </c>
      <c r="C5" s="5" t="n">
        <v>1450</v>
      </c>
      <c r="D5" s="5" t="n">
        <v>1600</v>
      </c>
      <c r="E5" s="5" t="n">
        <v>1700</v>
      </c>
      <c r="F5" s="5" t="n">
        <v>6250</v>
      </c>
      <c r="G5" s="6" t="n">
        <v>0.2414180704322735</v>
      </c>
      <c r="H5" s="7" t="n">
        <v>46323.52083333334</v>
      </c>
    </row>
    <row r="7">
      <c r="A7" t="inlineStr">
        <is>
          <t>merged title cell</t>
        </is>
      </c>
      <c r="C7" t="n">
        <v>0.3</v>
      </c>
      <c r="D7" t="n">
        <v>1234567890123</v>
      </c>
      <c r="E7">
        <f>SUM(B2:E5)</f>
        <v/>
      </c>
    </row>
  </sheetData>
  <mergeCells count="1"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author</t>
        </is>
      </c>
      <c r="B2" t="inlineStr">
        <is>
          <t>viw sample</t>
        </is>
      </c>
    </row>
    <row r="3">
      <c r="A3" t="inlineStr">
        <is>
          <t>generated</t>
        </is>
      </c>
      <c r="B3" t="inlineStr">
        <is>
          <t>openpyxl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5" max="5"/>
  </cols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  <c r="E1" t="inlineStr">
        <is>
          <t>check</t>
        </is>
      </c>
    </row>
    <row r="2">
      <c r="A2" t="inlineStr">
        <is>
          <t>apple</t>
        </is>
      </c>
      <c r="B2" t="n">
        <v>120</v>
      </c>
      <c r="C2" t="n">
        <v>150</v>
      </c>
      <c r="D2">
        <f>B2*C2</f>
        <v/>
      </c>
      <c r="E2">
        <f>A2&amp;" x "&amp;B2</f>
        <v/>
      </c>
    </row>
    <row r="3">
      <c r="A3" t="inlineStr">
        <is>
          <t>pear</t>
        </is>
      </c>
      <c r="B3" t="n">
        <v>30</v>
      </c>
      <c r="C3" t="n">
        <v>200</v>
      </c>
      <c r="D3">
        <f>B3*C3</f>
        <v/>
      </c>
      <c r="E3">
        <f>B3&gt;C3</f>
        <v/>
      </c>
    </row>
    <row r="4">
      <c r="A4" t="inlineStr">
        <is>
          <t>sum</t>
        </is>
      </c>
      <c r="B4">
        <f>B2+B3</f>
        <v/>
      </c>
      <c r="C4">
        <f>$C$2+1</f>
        <v/>
      </c>
      <c r="D4">
        <f>D2+D3</f>
        <v/>
      </c>
      <c r="E4">
        <f>(B2+C2)/2</f>
        <v/>
      </c>
    </row>
    <row r="5">
      <c r="A5" t="inlineStr">
        <is>
          <t>cross</t>
        </is>
      </c>
      <c r="B5">
        <f>'売上'!C2</f>
        <v/>
      </c>
      <c r="C5">
        <f>'売上'!E2</f>
        <v/>
      </c>
      <c r="D5">
        <f>10%*C2</f>
        <v/>
      </c>
      <c r="E5">
        <f>1/0</f>
        <v/>
      </c>
    </row>
    <row r="6">
      <c r="A6" t="inlineStr">
        <is>
          <t>chain</t>
        </is>
      </c>
      <c r="B6">
        <f>B5*2</f>
        <v/>
      </c>
      <c r="C6">
        <f>B6^2</f>
        <v/>
      </c>
      <c r="D6">
        <f>-D2</f>
        <v/>
      </c>
      <c r="E6">
        <f>"a"="A"</f>
        <v/>
      </c>
    </row>
    <row r="7">
      <c r="A7" t="inlineStr">
        <is>
          <t>func</t>
        </is>
      </c>
      <c r="B7">
        <f>SUM(B2:B3)</f>
        <v/>
      </c>
      <c r="C7">
        <f>1+"2"</f>
        <v/>
      </c>
      <c r="D7">
        <f>B2=120</f>
        <v/>
      </c>
      <c r="E7">
        <f>E8</f>
        <v/>
      </c>
    </row>
    <row r="8">
      <c r="A8" t="inlineStr">
        <is>
          <t>cycle</t>
        </is>
      </c>
      <c r="B8">
        <f>E7</f>
        <v/>
      </c>
      <c r="C8" t="inlineStr"/>
      <c r="D8" t="inlineStr"/>
      <c r="E8">
        <f>E7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2026-10-29T10:21:17Z</dcterms:created>
  <dcterms:modified xsi:type="dcterms:W3CDTF">2026-10-29T10:21:17Z</dcterms:modified>
</cp:coreProperties>
</file>